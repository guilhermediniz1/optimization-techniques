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 Benchmark Solvers" sheetId="1" r:id="rId5"/>
    <sheet state="visible" name="Benchmark Heurísticas" sheetId="2" r:id="rId6"/>
  </sheets>
  <definedNames/>
  <calcPr/>
</workbook>
</file>

<file path=xl/sharedStrings.xml><?xml version="1.0" encoding="utf-8"?>
<sst xmlns="http://schemas.openxmlformats.org/spreadsheetml/2006/main" count="102" uniqueCount="35">
  <si>
    <t>Instâncias</t>
  </si>
  <si>
    <t>CPLEX</t>
  </si>
  <si>
    <t>GUROBI</t>
  </si>
  <si>
    <t>LB</t>
  </si>
  <si>
    <t>UB</t>
  </si>
  <si>
    <t>GAP (%)</t>
  </si>
  <si>
    <t>TEMPO (seg.)</t>
  </si>
  <si>
    <t>E-n22-k4</t>
  </si>
  <si>
    <t>E-n30-k3</t>
  </si>
  <si>
    <t>E-n51-k5</t>
  </si>
  <si>
    <t>E-n76-k7</t>
  </si>
  <si>
    <t>X-n214-k11</t>
  </si>
  <si>
    <t>-</t>
  </si>
  <si>
    <t>X-n459-k26</t>
  </si>
  <si>
    <t xml:space="preserve"> X-n1001-k43</t>
  </si>
  <si>
    <t>Médias</t>
  </si>
  <si>
    <t>Parâmetro</t>
  </si>
  <si>
    <t>Intevalo</t>
  </si>
  <si>
    <t>Melhor Valor</t>
  </si>
  <si>
    <t>α (alpha)</t>
  </si>
  <si>
    <t>(0.0, 1.0)</t>
  </si>
  <si>
    <t>Máx. iterações</t>
  </si>
  <si>
    <t>(50, 100000)</t>
  </si>
  <si>
    <t xml:space="preserve"> Metaheurística GRASP</t>
  </si>
  <si>
    <t>Melhor FO</t>
  </si>
  <si>
    <t>FO Média</t>
  </si>
  <si>
    <t>Desvio (%)</t>
  </si>
  <si>
    <t>Tempo médio (seg.)</t>
  </si>
  <si>
    <t>Tempo melhor (seg.)</t>
  </si>
  <si>
    <t>Metaheurística</t>
  </si>
  <si>
    <t>FO</t>
  </si>
  <si>
    <t>GAP</t>
  </si>
  <si>
    <t>TEMPO</t>
  </si>
  <si>
    <t>Dif_C</t>
  </si>
  <si>
    <t>Dif_G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</si>
</sst>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000"/>
    <numFmt numFmtId="165" formatCode="#,##0.0000"/>
  </numFmts>
  <fonts count="6">
    <font>
      <sz val="10.0"/>
      <color rgb="FF000000"/>
      <name val="Arial"/>
      <scheme val="minor"/>
    </font>
    <font>
      <b/>
      <sz val="10.0"/>
      <color theme="1"/>
      <name val="Roboto Mono"/>
    </font>
    <font/>
    <font>
      <sz val="12.0"/>
      <color theme="1"/>
      <name val="Roboto Mono"/>
    </font>
    <font>
      <sz val="10.0"/>
      <color theme="1"/>
      <name val="Roboto Mono"/>
    </font>
    <font>
      <color theme="1"/>
      <name val="Roboto Mono"/>
    </font>
  </fonts>
  <fills count="2">
    <fill>
      <patternFill patternType="none"/>
    </fill>
    <fill>
      <patternFill patternType="lightGray"/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vertical="center"/>
    </xf>
    <xf borderId="2" fillId="0" fontId="1" numFmtId="0" xfId="0" applyAlignment="1" applyBorder="1" applyFont="1">
      <alignment horizontal="center" readingOrder="0"/>
    </xf>
    <xf borderId="3" fillId="0" fontId="2" numFmtId="0" xfId="0" applyBorder="1" applyFont="1"/>
    <xf borderId="4" fillId="0" fontId="2" numFmtId="0" xfId="0" applyBorder="1" applyFont="1"/>
    <xf borderId="0" fillId="0" fontId="3" numFmtId="0" xfId="0" applyFont="1"/>
    <xf borderId="5" fillId="0" fontId="2" numFmtId="0" xfId="0" applyBorder="1" applyFont="1"/>
    <xf borderId="6" fillId="0" fontId="4" numFmtId="0" xfId="0" applyAlignment="1" applyBorder="1" applyFont="1">
      <alignment horizontal="center" readingOrder="0"/>
    </xf>
    <xf borderId="6" fillId="0" fontId="1" numFmtId="0" xfId="0" applyAlignment="1" applyBorder="1" applyFont="1">
      <alignment horizontal="center" readingOrder="0"/>
    </xf>
    <xf borderId="6" fillId="0" fontId="4" numFmtId="0" xfId="0" applyAlignment="1" applyBorder="1" applyFont="1">
      <alignment horizontal="right" readingOrder="0"/>
    </xf>
    <xf borderId="6" fillId="0" fontId="4" numFmtId="164" xfId="0" applyAlignment="1" applyBorder="1" applyFont="1" applyNumberFormat="1">
      <alignment horizontal="right" readingOrder="0"/>
    </xf>
    <xf borderId="6" fillId="0" fontId="5" numFmtId="0" xfId="0" applyAlignment="1" applyBorder="1" applyFont="1">
      <alignment readingOrder="0"/>
    </xf>
    <xf borderId="6" fillId="0" fontId="4" numFmtId="164" xfId="0" applyBorder="1" applyFont="1" applyNumberFormat="1"/>
    <xf borderId="0" fillId="0" fontId="4" numFmtId="0" xfId="0" applyFont="1"/>
    <xf borderId="6" fillId="0" fontId="1" numFmtId="0" xfId="0" applyAlignment="1" applyBorder="1" applyFont="1">
      <alignment readingOrder="0"/>
    </xf>
    <xf borderId="0" fillId="0" fontId="1" numFmtId="0" xfId="0" applyAlignment="1" applyFont="1">
      <alignment readingOrder="0"/>
    </xf>
    <xf borderId="6" fillId="0" fontId="4" numFmtId="0" xfId="0" applyAlignment="1" applyBorder="1" applyFont="1">
      <alignment readingOrder="0"/>
    </xf>
    <xf borderId="6" fillId="0" fontId="4" numFmtId="165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6" fillId="0" fontId="4" numFmtId="165" xfId="0" applyAlignment="1" applyBorder="1" applyFont="1" applyNumberFormat="1">
      <alignment horizontal="right" readingOrder="0"/>
    </xf>
    <xf borderId="6" fillId="0" fontId="4" numFmtId="165" xfId="0" applyBorder="1" applyFont="1" applyNumberFormat="1"/>
    <xf borderId="0" fillId="0" fontId="1" numFmtId="0" xfId="0" applyFont="1"/>
    <xf borderId="6" fillId="0" fontId="4" numFmtId="164" xfId="0" applyAlignment="1" applyBorder="1" applyFont="1" applyNumberFormat="1">
      <alignment readingOrder="0"/>
    </xf>
    <xf borderId="6" fillId="0" fontId="4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  <col customWidth="1" min="2" max="2" width="14.38"/>
    <col customWidth="1" min="3" max="3" width="13.63"/>
    <col customWidth="1" min="4" max="4" width="12.38"/>
    <col customWidth="1" min="5" max="5" width="15.38"/>
    <col customWidth="1" min="6" max="6" width="11.88"/>
    <col customWidth="1" min="7" max="7" width="12.13"/>
    <col customWidth="1" min="8" max="8" width="12.25"/>
    <col customWidth="1" min="9" max="9" width="15.38"/>
  </cols>
  <sheetData>
    <row r="1" ht="16.5" customHeight="1">
      <c r="A1" s="1" t="s">
        <v>0</v>
      </c>
      <c r="B1" s="2" t="s">
        <v>1</v>
      </c>
      <c r="C1" s="3"/>
      <c r="D1" s="3"/>
      <c r="E1" s="4"/>
      <c r="F1" s="2" t="s">
        <v>2</v>
      </c>
      <c r="G1" s="3"/>
      <c r="H1" s="3"/>
      <c r="I1" s="4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</row>
    <row r="2" ht="16.5" customHeight="1">
      <c r="A2" s="6"/>
      <c r="B2" s="7" t="s">
        <v>3</v>
      </c>
      <c r="C2" s="7" t="s">
        <v>4</v>
      </c>
      <c r="D2" s="7" t="s">
        <v>5</v>
      </c>
      <c r="E2" s="7" t="s">
        <v>6</v>
      </c>
      <c r="F2" s="7" t="s">
        <v>3</v>
      </c>
      <c r="G2" s="7" t="s">
        <v>4</v>
      </c>
      <c r="H2" s="7" t="s">
        <v>5</v>
      </c>
      <c r="I2" s="7" t="s">
        <v>6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3" ht="16.5" customHeight="1">
      <c r="A3" s="8" t="s">
        <v>7</v>
      </c>
      <c r="B3" s="9">
        <v>303.3853</v>
      </c>
      <c r="C3" s="9">
        <v>384.6782</v>
      </c>
      <c r="D3" s="9">
        <v>21.1326</v>
      </c>
      <c r="E3" s="9">
        <v>3603.7422</v>
      </c>
      <c r="F3" s="10">
        <v>313.577</v>
      </c>
      <c r="G3" s="9">
        <v>384.6781</v>
      </c>
      <c r="H3" s="9">
        <v>18.4832</v>
      </c>
      <c r="I3" s="9">
        <v>3600.0225</v>
      </c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</row>
    <row r="4" ht="16.5" customHeight="1">
      <c r="A4" s="8" t="s">
        <v>8</v>
      </c>
      <c r="B4" s="9">
        <v>355.9117</v>
      </c>
      <c r="C4" s="9">
        <v>509.4704</v>
      </c>
      <c r="D4" s="9">
        <v>30.1408</v>
      </c>
      <c r="E4" s="9">
        <v>3603.0378</v>
      </c>
      <c r="F4" s="9">
        <v>370.5971</v>
      </c>
      <c r="G4" s="9">
        <v>509.4703</v>
      </c>
      <c r="H4" s="9">
        <v>27.2583</v>
      </c>
      <c r="I4" s="9">
        <v>3600.0362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</row>
    <row r="5" ht="16.5" customHeight="1">
      <c r="A5" s="8" t="s">
        <v>9</v>
      </c>
      <c r="B5" s="9">
        <v>426.8457</v>
      </c>
      <c r="C5" s="9">
        <v>578.9039</v>
      </c>
      <c r="D5" s="9">
        <v>26.2665</v>
      </c>
      <c r="E5" s="9">
        <v>3601.7328</v>
      </c>
      <c r="F5" s="9">
        <v>428.7206</v>
      </c>
      <c r="G5" s="9">
        <v>548.6272</v>
      </c>
      <c r="H5" s="9">
        <v>21.8557</v>
      </c>
      <c r="I5" s="9">
        <v>3600.0338</v>
      </c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 ht="16.5" customHeight="1">
      <c r="A6" s="8" t="s">
        <v>10</v>
      </c>
      <c r="B6" s="10">
        <v>540.993</v>
      </c>
      <c r="C6" s="10">
        <v>736.33</v>
      </c>
      <c r="D6" s="9">
        <v>26.5284</v>
      </c>
      <c r="E6" s="9">
        <v>3601.3078</v>
      </c>
      <c r="F6" s="10">
        <v>540.022</v>
      </c>
      <c r="G6" s="9">
        <v>726.7496</v>
      </c>
      <c r="H6" s="9">
        <v>25.6935</v>
      </c>
      <c r="I6" s="9">
        <v>3600.1394</v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 ht="16.5" customHeight="1">
      <c r="A7" s="8" t="s">
        <v>11</v>
      </c>
      <c r="B7" s="9" t="s">
        <v>12</v>
      </c>
      <c r="C7" s="9" t="s">
        <v>12</v>
      </c>
      <c r="D7" s="9" t="s">
        <v>12</v>
      </c>
      <c r="E7" s="9" t="s">
        <v>12</v>
      </c>
      <c r="F7" s="10">
        <v>6195.969</v>
      </c>
      <c r="G7" s="9">
        <v>14393.5201</v>
      </c>
      <c r="H7" s="10">
        <v>56.953</v>
      </c>
      <c r="I7" s="11">
        <v>3601.0233</v>
      </c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</row>
    <row r="8" ht="16.5" customHeight="1">
      <c r="A8" s="8" t="s">
        <v>13</v>
      </c>
      <c r="B8" s="9" t="s">
        <v>12</v>
      </c>
      <c r="C8" s="9" t="s">
        <v>12</v>
      </c>
      <c r="D8" s="9" t="s">
        <v>12</v>
      </c>
      <c r="E8" s="9" t="s">
        <v>12</v>
      </c>
      <c r="F8" s="9">
        <v>10710.9861</v>
      </c>
      <c r="G8" s="9" t="s">
        <v>12</v>
      </c>
      <c r="H8" s="9" t="s">
        <v>12</v>
      </c>
      <c r="I8" s="9" t="s">
        <v>12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</row>
    <row r="9" ht="16.5" customHeight="1">
      <c r="A9" s="8" t="s">
        <v>14</v>
      </c>
      <c r="B9" s="9" t="s">
        <v>12</v>
      </c>
      <c r="C9" s="9" t="s">
        <v>12</v>
      </c>
      <c r="D9" s="9" t="s">
        <v>12</v>
      </c>
      <c r="E9" s="9" t="s">
        <v>12</v>
      </c>
      <c r="F9" s="9" t="s">
        <v>12</v>
      </c>
      <c r="G9" s="9" t="s">
        <v>12</v>
      </c>
      <c r="H9" s="9" t="s">
        <v>12</v>
      </c>
      <c r="I9" s="9" t="s">
        <v>12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 ht="16.5" customHeight="1">
      <c r="A10" s="8" t="s">
        <v>15</v>
      </c>
      <c r="B10" s="12">
        <f t="shared" ref="B10:I10" si="1">AVERAGE(B3:B9)</f>
        <v>406.783925</v>
      </c>
      <c r="C10" s="12">
        <f t="shared" si="1"/>
        <v>552.345625</v>
      </c>
      <c r="D10" s="12">
        <f t="shared" si="1"/>
        <v>26.017075</v>
      </c>
      <c r="E10" s="12">
        <f t="shared" si="1"/>
        <v>3602.45515</v>
      </c>
      <c r="F10" s="12">
        <f t="shared" si="1"/>
        <v>3093.311967</v>
      </c>
      <c r="G10" s="12">
        <f t="shared" si="1"/>
        <v>3312.60906</v>
      </c>
      <c r="H10" s="12">
        <f t="shared" si="1"/>
        <v>30.04874</v>
      </c>
      <c r="I10" s="12">
        <f t="shared" si="1"/>
        <v>3600.25104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</row>
  </sheetData>
  <mergeCells count="3">
    <mergeCell ref="A1:A2"/>
    <mergeCell ref="B1:E1"/>
    <mergeCell ref="F1:I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22.0"/>
    <col customWidth="1" min="3" max="3" width="13.0"/>
    <col customWidth="1" min="4" max="4" width="11.0"/>
    <col customWidth="1" min="5" max="5" width="19.0"/>
    <col customWidth="1" min="6" max="6" width="20.0"/>
    <col customWidth="1" min="7" max="7" width="10.0"/>
    <col customWidth="1" min="8" max="8" width="15.0"/>
    <col customWidth="1" min="9" max="9" width="9.0"/>
    <col customWidth="1" min="10" max="10" width="14.0"/>
    <col customWidth="1" min="11" max="11" width="14.75"/>
  </cols>
  <sheetData>
    <row r="1">
      <c r="A1" s="13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</row>
    <row r="2">
      <c r="A2" s="14" t="s">
        <v>16</v>
      </c>
      <c r="B2" s="14" t="s">
        <v>17</v>
      </c>
      <c r="C2" s="14" t="s">
        <v>18</v>
      </c>
      <c r="D2" s="15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</row>
    <row r="3">
      <c r="A3" s="16" t="s">
        <v>19</v>
      </c>
      <c r="B3" s="16" t="s">
        <v>20</v>
      </c>
      <c r="C3" s="17">
        <v>0.1722</v>
      </c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</row>
    <row r="4">
      <c r="A4" s="16" t="s">
        <v>21</v>
      </c>
      <c r="B4" s="16" t="s">
        <v>22</v>
      </c>
      <c r="C4" s="16">
        <v>61783.0</v>
      </c>
      <c r="D4" s="18"/>
      <c r="E4" s="18"/>
      <c r="F4" s="18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</row>
    <row r="5">
      <c r="A5" s="18"/>
      <c r="B5" s="19"/>
      <c r="C5" s="19"/>
      <c r="D5" s="18"/>
      <c r="E5" s="18"/>
      <c r="F5" s="19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</row>
    <row r="6">
      <c r="A6" s="18"/>
      <c r="B6" s="19"/>
      <c r="C6" s="19"/>
      <c r="D6" s="18"/>
      <c r="E6" s="18"/>
      <c r="F6" s="19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</row>
    <row r="7">
      <c r="A7" s="1" t="s">
        <v>0</v>
      </c>
      <c r="B7" s="2" t="s">
        <v>23</v>
      </c>
      <c r="C7" s="3"/>
      <c r="D7" s="3"/>
      <c r="E7" s="3"/>
      <c r="F7" s="4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</row>
    <row r="8">
      <c r="A8" s="6"/>
      <c r="B8" s="8" t="s">
        <v>24</v>
      </c>
      <c r="C8" s="8" t="s">
        <v>25</v>
      </c>
      <c r="D8" s="8" t="s">
        <v>26</v>
      </c>
      <c r="E8" s="8" t="s">
        <v>27</v>
      </c>
      <c r="F8" s="8" t="s">
        <v>28</v>
      </c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</row>
    <row r="9">
      <c r="A9" s="8" t="s">
        <v>7</v>
      </c>
      <c r="B9" s="20">
        <v>385.4418</v>
      </c>
      <c r="C9" s="20">
        <v>385.4418</v>
      </c>
      <c r="D9" s="20">
        <f t="shared" ref="D9:D15" si="1">((C9-B9)/B9)*100</f>
        <v>0</v>
      </c>
      <c r="E9" s="20">
        <v>60.6843</v>
      </c>
      <c r="F9" s="20">
        <v>60.6766</v>
      </c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</row>
    <row r="10">
      <c r="A10" s="8" t="s">
        <v>8</v>
      </c>
      <c r="B10" s="20">
        <v>512.7152</v>
      </c>
      <c r="C10" s="20">
        <v>512.7152</v>
      </c>
      <c r="D10" s="20">
        <f t="shared" si="1"/>
        <v>0</v>
      </c>
      <c r="E10" s="20">
        <v>300.0</v>
      </c>
      <c r="F10" s="20">
        <v>300.0</v>
      </c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</row>
    <row r="11">
      <c r="A11" s="8" t="s">
        <v>9</v>
      </c>
      <c r="B11" s="20">
        <v>555.0249</v>
      </c>
      <c r="C11" s="20">
        <v>558.8307</v>
      </c>
      <c r="D11" s="20">
        <f t="shared" si="1"/>
        <v>0.6856989659</v>
      </c>
      <c r="E11" s="20">
        <v>300.0</v>
      </c>
      <c r="F11" s="20">
        <v>300.0</v>
      </c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</row>
    <row r="12">
      <c r="A12" s="8" t="s">
        <v>10</v>
      </c>
      <c r="B12" s="20">
        <v>731.418</v>
      </c>
      <c r="C12" s="20">
        <v>733.9733</v>
      </c>
      <c r="D12" s="20">
        <f t="shared" si="1"/>
        <v>0.3493624713</v>
      </c>
      <c r="E12" s="20">
        <v>300.0</v>
      </c>
      <c r="F12" s="20">
        <v>300.0</v>
      </c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</row>
    <row r="13">
      <c r="A13" s="8" t="s">
        <v>11</v>
      </c>
      <c r="B13" s="20">
        <v>15940.7308</v>
      </c>
      <c r="C13" s="20">
        <v>16118.7295</v>
      </c>
      <c r="D13" s="20">
        <f t="shared" si="1"/>
        <v>1.116628229</v>
      </c>
      <c r="E13" s="20">
        <v>300.0001</v>
      </c>
      <c r="F13" s="20">
        <v>300.0001</v>
      </c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</row>
    <row r="14">
      <c r="A14" s="8" t="s">
        <v>13</v>
      </c>
      <c r="B14" s="20">
        <v>35335.5131</v>
      </c>
      <c r="C14" s="20">
        <v>35391.9648</v>
      </c>
      <c r="D14" s="20">
        <f t="shared" si="1"/>
        <v>0.1597591065</v>
      </c>
      <c r="E14" s="20">
        <v>300.0044</v>
      </c>
      <c r="F14" s="20">
        <v>300.0044</v>
      </c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</row>
    <row r="15">
      <c r="A15" s="8" t="s">
        <v>14</v>
      </c>
      <c r="B15" s="20">
        <v>124238.5991</v>
      </c>
      <c r="C15" s="20">
        <v>124385.6538</v>
      </c>
      <c r="D15" s="20">
        <f t="shared" si="1"/>
        <v>0.1183647442</v>
      </c>
      <c r="E15" s="20">
        <v>300.0018</v>
      </c>
      <c r="F15" s="20">
        <v>300.0007</v>
      </c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</row>
    <row r="16">
      <c r="A16" s="8" t="s">
        <v>15</v>
      </c>
      <c r="B16" s="21">
        <f t="shared" ref="B16:F16" si="2">AVERAGE(B9:B15)</f>
        <v>25385.6347</v>
      </c>
      <c r="C16" s="21">
        <f t="shared" si="2"/>
        <v>25441.04416</v>
      </c>
      <c r="D16" s="20">
        <f t="shared" si="2"/>
        <v>0.3471162167</v>
      </c>
      <c r="E16" s="21">
        <f t="shared" si="2"/>
        <v>265.8129429</v>
      </c>
      <c r="F16" s="21">
        <f t="shared" si="2"/>
        <v>265.8116857</v>
      </c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</row>
    <row r="17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</row>
    <row r="18">
      <c r="A18" s="13"/>
      <c r="B18" s="13"/>
      <c r="C18" s="13"/>
      <c r="D18" s="13"/>
      <c r="E18" s="13"/>
      <c r="F18" s="13"/>
      <c r="G18" s="13"/>
      <c r="H18" s="13"/>
      <c r="I18" s="22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</row>
    <row r="19">
      <c r="A19" s="1" t="s">
        <v>0</v>
      </c>
      <c r="B19" s="2" t="s">
        <v>1</v>
      </c>
      <c r="C19" s="3"/>
      <c r="D19" s="3"/>
      <c r="E19" s="2" t="s">
        <v>2</v>
      </c>
      <c r="F19" s="3"/>
      <c r="G19" s="4"/>
      <c r="H19" s="2" t="s">
        <v>29</v>
      </c>
      <c r="I19" s="3"/>
      <c r="J19" s="3"/>
      <c r="K19" s="4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</row>
    <row r="20">
      <c r="A20" s="6"/>
      <c r="B20" s="8" t="s">
        <v>30</v>
      </c>
      <c r="C20" s="8" t="s">
        <v>31</v>
      </c>
      <c r="D20" s="8" t="s">
        <v>32</v>
      </c>
      <c r="E20" s="8" t="s">
        <v>30</v>
      </c>
      <c r="F20" s="8" t="s">
        <v>31</v>
      </c>
      <c r="G20" s="8" t="s">
        <v>32</v>
      </c>
      <c r="H20" s="8" t="s">
        <v>30</v>
      </c>
      <c r="I20" s="8" t="s">
        <v>32</v>
      </c>
      <c r="J20" s="8" t="s">
        <v>33</v>
      </c>
      <c r="K20" s="8" t="s">
        <v>34</v>
      </c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</row>
    <row r="21">
      <c r="A21" s="8" t="s">
        <v>7</v>
      </c>
      <c r="B21" s="9">
        <v>384.6782</v>
      </c>
      <c r="C21" s="9">
        <v>21.1326</v>
      </c>
      <c r="D21" s="9">
        <v>3603.7422</v>
      </c>
      <c r="E21" s="9">
        <v>384.6781</v>
      </c>
      <c r="F21" s="9">
        <v>18.4832</v>
      </c>
      <c r="G21" s="9">
        <v>3600.0225</v>
      </c>
      <c r="H21" s="20">
        <v>385.4418</v>
      </c>
      <c r="I21" s="20">
        <v>60.6766</v>
      </c>
      <c r="J21" s="12">
        <f t="shared" ref="J21:J24" si="3">((B21-H21)/B21)*100</f>
        <v>-0.1985035804</v>
      </c>
      <c r="K21" s="12">
        <f t="shared" ref="K21:K25" si="4">((E21-H21)/E21)*100</f>
        <v>-0.1985296278</v>
      </c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</row>
    <row r="22">
      <c r="A22" s="8" t="s">
        <v>8</v>
      </c>
      <c r="B22" s="9">
        <v>509.4704</v>
      </c>
      <c r="C22" s="9">
        <v>30.1408</v>
      </c>
      <c r="D22" s="9">
        <v>3603.0378</v>
      </c>
      <c r="E22" s="9">
        <v>509.4703</v>
      </c>
      <c r="F22" s="9">
        <v>27.2583</v>
      </c>
      <c r="G22" s="9">
        <v>3600.0362</v>
      </c>
      <c r="H22" s="20">
        <v>512.7152</v>
      </c>
      <c r="I22" s="20">
        <v>300.0</v>
      </c>
      <c r="J22" s="12">
        <f t="shared" si="3"/>
        <v>-0.6368966676</v>
      </c>
      <c r="K22" s="12">
        <f t="shared" si="4"/>
        <v>-0.6369164208</v>
      </c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</row>
    <row r="23">
      <c r="A23" s="8" t="s">
        <v>9</v>
      </c>
      <c r="B23" s="9">
        <v>578.9039</v>
      </c>
      <c r="C23" s="9">
        <v>26.2665</v>
      </c>
      <c r="D23" s="9">
        <v>3601.7328</v>
      </c>
      <c r="E23" s="9">
        <v>548.6272</v>
      </c>
      <c r="F23" s="9">
        <v>21.8557</v>
      </c>
      <c r="G23" s="9">
        <v>3600.0338</v>
      </c>
      <c r="H23" s="20">
        <v>555.0249</v>
      </c>
      <c r="I23" s="20">
        <v>300.0</v>
      </c>
      <c r="J23" s="12">
        <f t="shared" si="3"/>
        <v>4.124864248</v>
      </c>
      <c r="K23" s="12">
        <f t="shared" si="4"/>
        <v>-1.166128839</v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</row>
    <row r="24">
      <c r="A24" s="8" t="s">
        <v>10</v>
      </c>
      <c r="B24" s="10">
        <v>736.33</v>
      </c>
      <c r="C24" s="9">
        <v>26.5284</v>
      </c>
      <c r="D24" s="9">
        <v>3601.3078</v>
      </c>
      <c r="E24" s="9">
        <v>726.7496</v>
      </c>
      <c r="F24" s="9">
        <v>25.6935</v>
      </c>
      <c r="G24" s="9">
        <v>3600.1394</v>
      </c>
      <c r="H24" s="20">
        <v>731.418</v>
      </c>
      <c r="I24" s="20">
        <v>300.0</v>
      </c>
      <c r="J24" s="12">
        <f t="shared" si="3"/>
        <v>0.6670922005</v>
      </c>
      <c r="K24" s="12">
        <f t="shared" si="4"/>
        <v>-0.6423670546</v>
      </c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</row>
    <row r="25">
      <c r="A25" s="8" t="s">
        <v>11</v>
      </c>
      <c r="B25" s="9" t="s">
        <v>12</v>
      </c>
      <c r="C25" s="9" t="s">
        <v>12</v>
      </c>
      <c r="D25" s="9" t="s">
        <v>12</v>
      </c>
      <c r="E25" s="9">
        <v>14393.5201</v>
      </c>
      <c r="F25" s="10">
        <v>56.953</v>
      </c>
      <c r="G25" s="11">
        <v>3601.0233</v>
      </c>
      <c r="H25" s="20">
        <v>15940.7308</v>
      </c>
      <c r="I25" s="20">
        <v>300.0001</v>
      </c>
      <c r="J25" s="23" t="s">
        <v>12</v>
      </c>
      <c r="K25" s="12">
        <f t="shared" si="4"/>
        <v>-10.74935589</v>
      </c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</row>
    <row r="26">
      <c r="A26" s="8" t="s">
        <v>13</v>
      </c>
      <c r="B26" s="9" t="s">
        <v>12</v>
      </c>
      <c r="C26" s="9" t="s">
        <v>12</v>
      </c>
      <c r="D26" s="9" t="s">
        <v>12</v>
      </c>
      <c r="E26" s="9" t="s">
        <v>12</v>
      </c>
      <c r="F26" s="9" t="s">
        <v>12</v>
      </c>
      <c r="G26" s="9" t="s">
        <v>12</v>
      </c>
      <c r="H26" s="20">
        <v>35335.5131</v>
      </c>
      <c r="I26" s="20">
        <v>300.0044</v>
      </c>
      <c r="J26" s="23" t="s">
        <v>12</v>
      </c>
      <c r="K26" s="23" t="s">
        <v>12</v>
      </c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</row>
    <row r="27">
      <c r="A27" s="8" t="s">
        <v>14</v>
      </c>
      <c r="B27" s="9" t="s">
        <v>12</v>
      </c>
      <c r="C27" s="9" t="s">
        <v>12</v>
      </c>
      <c r="D27" s="9" t="s">
        <v>12</v>
      </c>
      <c r="E27" s="9" t="s">
        <v>12</v>
      </c>
      <c r="F27" s="9" t="s">
        <v>12</v>
      </c>
      <c r="G27" s="9" t="s">
        <v>12</v>
      </c>
      <c r="H27" s="20">
        <v>124238.5991</v>
      </c>
      <c r="I27" s="20">
        <v>300.0007</v>
      </c>
      <c r="J27" s="23" t="s">
        <v>12</v>
      </c>
      <c r="K27" s="23" t="s">
        <v>12</v>
      </c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</row>
    <row r="28">
      <c r="A28" s="8" t="s">
        <v>15</v>
      </c>
      <c r="B28" s="21"/>
      <c r="C28" s="21"/>
      <c r="D28" s="20"/>
      <c r="E28" s="21"/>
      <c r="F28" s="21"/>
      <c r="G28" s="24"/>
      <c r="H28" s="24"/>
      <c r="I28" s="24"/>
      <c r="J28" s="24"/>
      <c r="K28" s="12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</row>
    <row r="29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</row>
    <row r="30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</row>
    <row r="31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</row>
    <row r="32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</row>
    <row r="33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</row>
    <row r="34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</row>
    <row r="3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</row>
    <row r="36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</row>
    <row r="37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</row>
    <row r="38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</row>
    <row r="39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</row>
    <row r="40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</row>
    <row r="41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</row>
    <row r="42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</row>
    <row r="43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</row>
    <row r="44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</row>
    <row r="4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</row>
    <row r="46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</row>
    <row r="47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</row>
    <row r="48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</row>
    <row r="49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</row>
    <row r="50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</row>
    <row r="5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</row>
    <row r="52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</row>
    <row r="53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</row>
    <row r="54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</row>
    <row r="5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</row>
    <row r="56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</row>
    <row r="57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</row>
    <row r="58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</row>
    <row r="59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</row>
    <row r="60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</row>
    <row r="6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</row>
    <row r="62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</row>
    <row r="63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</row>
    <row r="64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</row>
    <row r="65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</row>
    <row r="66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</row>
    <row r="67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</row>
    <row r="68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</row>
    <row r="69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</row>
    <row r="70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</row>
    <row r="7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</row>
    <row r="72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</row>
    <row r="73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</row>
    <row r="74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</row>
    <row r="7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</row>
    <row r="76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</row>
    <row r="77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</row>
    <row r="79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</row>
    <row r="9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</row>
    <row r="9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</row>
    <row r="9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</row>
    <row r="94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</row>
    <row r="9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</row>
    <row r="96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</row>
    <row r="97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</row>
    <row r="98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</row>
    <row r="99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</row>
  </sheetData>
  <mergeCells count="6">
    <mergeCell ref="A7:A8"/>
    <mergeCell ref="B7:F7"/>
    <mergeCell ref="A19:A20"/>
    <mergeCell ref="B19:D19"/>
    <mergeCell ref="E19:G19"/>
    <mergeCell ref="H19:K19"/>
  </mergeCells>
  <drawing r:id="rId1"/>
</worksheet>
</file>